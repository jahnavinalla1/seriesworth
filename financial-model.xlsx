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04f0fd79b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ltimate" sheetId="1" r:id="Rafe78b5dd75f411f"/>
    <x:sheet xmlns:r="http://schemas.openxmlformats.org/officeDocument/2006/relationships" name="Inputs" sheetId="2" r:id="R8a79c0388059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–&quot;"/>
    <x:numFmt numFmtId="201" formatCode="0"/>
    <x:numFmt numFmtId="202" formatCode="0.0%;(0.0%);&quot;–&quot;"/>
  </x:numFmts>
  <x:fonts count="9">
    <x:font>
      <x:sz val="11"/>
      <x:name val="Carlito"/>
    </x:font>
    <x:font>
      <x:sz val="10"/>
      <x:color rgb="FF172A36"/>
      <x:name val="Arial"/>
    </x:font>
    <x:font>
      <x:b/>
      <x:sz val="14"/>
      <x:color rgb="FF18354A"/>
      <x:name val="Arial"/>
    </x:font>
    <x:font>
      <x:sz val="10"/>
      <x:color rgb="FF60717C"/>
      <x:name val="Arial"/>
    </x:font>
    <x:font>
      <x:sz val="10"/>
      <x:color rgb="FF1762B2"/>
      <x:name val="Arial"/>
    </x:font>
    <x:font>
      <x:b/>
      <x:sz val="10"/>
      <x:color rgb="FFFFFFFF"/>
      <x:name val="Arial"/>
    </x:font>
    <x:font>
      <x:sz val="10"/>
      <x:color rgb="FF14734A"/>
      <x:name val="Arial"/>
    </x:font>
    <x:font>
      <x:b/>
      <x:sz val="10"/>
      <x:color rgb="FF172A36"/>
      <x:name val="Arial"/>
    </x:font>
    <x:font>
      <x:b/>
      <x:sz val="10"/>
      <x:color rgb="FF1473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5FD"/>
      </x:patternFill>
    </x:fill>
    <x:fill>
      <x:patternFill patternType="solid">
        <x:fgColor rgb="FF18354A"/>
      </x:patternFill>
    </x:fill>
    <x:fill>
      <x:patternFill patternType="solid">
        <x:fgColor rgb="FFE5F3F1"/>
      </x:patternFill>
    </x:fill>
  </x:fills>
  <x:borders count="2">
    <x:border/>
    <x:border>
      <x:top style="thin">
        <x:color rgb="FFA7C7C2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2" borderId="0" xfId="0" applyNumberFormat="1" applyFont="1" applyFill="1" applyBorder="1"/>
    <x:xf numFmtId="200" fontId="4" fillId="2" borderId="0" xfId="0" applyNumberFormat="1" applyFont="1" applyFill="1" applyBorder="1"/>
    <x:xf numFmtId="201" fontId="4" fillId="2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2" fontId="4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7" fillId="4" borderId="0" xfId="0" applyNumberFormat="1" applyFont="1" applyFill="1" applyBorder="1"/>
    <x:xf numFmtId="200" fontId="7" fillId="4" borderId="0" xfId="0" applyNumberFormat="1" applyFont="1" applyFill="1" applyBorder="1"/>
    <x:xf numFmtId="0" fontId="7" fillId="4" borderId="1" xfId="0" applyNumberFormat="1" applyFont="1" applyFill="1" applyBorder="1"/>
    <x:xf numFmtId="200" fontId="7" fillId="4" borderId="1" xfId="0" applyNumberFormat="1" applyFont="1" applyFill="1" applyBorder="1"/>
    <x:xf numFmtId="200" fontId="6" fillId="4" borderId="0" xfId="0" applyNumberFormat="1" applyFont="1" applyFill="1" applyBorder="1"/>
    <x:xf numFmtId="200" fontId="8" fillId="4" borderId="0" xfId="0" applyNumberFormat="1" applyFont="1" applyFill="1" applyBorder="1"/>
    <x:xf numFmtId="200" fontId="8" fillId="4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08891419c4548" /><Relationship Type="http://schemas.openxmlformats.org/officeDocument/2006/relationships/theme" Target="/xl/theme/theme1.xml" Id="R8b085f388c4e4d1c" /><Relationship Type="http://schemas.openxmlformats.org/officeDocument/2006/relationships/sharedStrings" Target="/xl/sharedStrings.xml" Id="R995e9bb09ade4975" /><Relationship Type="http://schemas.openxmlformats.org/officeDocument/2006/relationships/worksheet" Target="/xl/worksheets/sheet1.xml" Id="Rafe78b5dd75f411f" /><Relationship Type="http://schemas.openxmlformats.org/officeDocument/2006/relationships/worksheet" Target="/xl/worksheets/sheet2.xml" Id="R8a79c038805944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428f3718d344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Future-sales downside vs current contribution (USD 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Current contribution</c:v>
          </c:tx>
          <c:spPr>
            <a:solidFill xmlns:a="http://schemas.openxmlformats.org/drawingml/2006/main">
              <a:srgbClr val="007F7A"/>
            </a:solidFill>
            <a:ln xmlns:a="http://schemas.openxmlformats.org/drawingml/2006/main" w="19050">
              <a:solidFill>
                <a:srgbClr val="007F7A"/>
              </a:solidFill>
              <a:prstDash val="solid"/>
            </a:ln>
          </c:spPr>
          <c:marker>
            <c:symbol val="none"/>
          </c:marker>
          <c:cat>
            <c:strRef>
              <c:f>'Ultimate'!$C$29:$C$49</c:f>
              <c:strCache>
                <c:ptCount val="0"/>
              </c:strCache>
            </c:strRef>
          </c:cat>
          <c:val>
            <c:numRef>
              <c:f>'Ultimate'!$I$29:$I$49</c:f>
              <c:numCache>
                <c:formatCode>#,##0.00;(#,##0.00);"–"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428f3718d3449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ad919785d64c71" /></Relationships>
</file>

<file path=xl/worksheets/sheet1.xml><?xml version="1.0" encoding="utf-8"?>
<x:worksheet xmlns:x="http://schemas.openxmlformats.org/spreadsheetml/2006/main">
  <x:sheetPr>
    <x:tabColor rgb="FF007F7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1"/>
      <x:c r="B2" s="1"/>
      <x:c r="C2" s="3" t="str">
        <x:v>TV ultimate revision &amp; recovery screen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4" t="str">
        <x:v>INDEPENDENT CASE STUDY  •  FICTIONAL TITLE ASSUMPTIONS  •  USD MILLIONS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1" t="str">
        <x:v>Active case</x:v>
      </x:c>
      <x:c r="D5" s="18" t="str">
        <x:f>IF(Inputs!D5=1,"Prior",IF(Inputs!D5=2,"Revised",IF(Inputs!D5=3,"Downside","Stress")))</x:f>
        <x:v>Revised</x:v>
      </x:c>
      <x:c r="E5" s="2"/>
      <x:c r="F5" s="2"/>
      <x:c r="G5" s="2"/>
      <x:c r="H5" s="2"/>
      <x:c r="I5" s="2"/>
      <x:c r="J5" s="2"/>
      <x:c r="K5" s="2"/>
      <x:c r="L5" s="2"/>
      <x:c r="M5" s="2"/>
    </x:row>
    <x:row r="6" ht="23" customHeight="1">
      <x:c r="A6" s="1"/>
      <x:c r="B6" s="1"/>
      <x:c r="C6" s="1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1" t="str">
        <x:v>Future revenue</x:v>
      </x:c>
      <x:c r="D7" s="18" t="n">
        <x:f>SUM(Inputs!F24:F26)</x:f>
        <x:v>38</x:v>
      </x:c>
      <x:c r="E7" s="2"/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1"/>
      <x:c r="B8" s="1"/>
      <x:c r="C8" s="1" t="str">
        <x:v>Current + future revenue</x:v>
      </x:c>
      <x:c r="D8" s="18" t="n">
        <x:f>Inputs!D17+D7</x:f>
        <x:v>56</x:v>
      </x:c>
      <x:c r="E8" s="2"/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A9" s="1"/>
      <x:c r="B9" s="1"/>
      <x:c r="C9" s="1" t="str">
        <x:v>Lifetime revenue</x:v>
      </x:c>
      <x:c r="D9" s="18" t="n">
        <x:f>Inputs!D14+D8</x:f>
        <x:v>86</x:v>
      </x:c>
      <x:c r="E9" s="2"/>
      <x:c r="F9" s="2"/>
      <x:c r="G9" s="2"/>
      <x:c r="H9" s="2"/>
      <x:c r="I9" s="2"/>
      <x:c r="J9" s="2"/>
      <x:c r="K9" s="2"/>
      <x:c r="L9" s="2"/>
      <x:c r="M9" s="2"/>
    </x:row>
    <x:row r="10" ht="23" customHeight="1">
      <x:c r="A10" s="1"/>
      <x:c r="B10" s="1"/>
      <x:c r="C10" s="1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3" customHeight="1">
      <x:c r="A11" s="1"/>
      <x:c r="B11" s="1"/>
      <x:c r="C11" s="1" t="str">
        <x:v>Cost available to recover</x:v>
      </x:c>
      <x:c r="D11" s="18" t="n">
        <x:f>Inputs!D12+Inputs!D13</x:f>
        <x:v>45</x:v>
      </x:c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3" customHeight="1">
      <x:c r="A12" s="1"/>
      <x:c r="B12" s="1"/>
      <x:c r="C12" s="1" t="str">
        <x:v>Net remaining proceeds (screen)</x:v>
      </x:c>
      <x:c r="D12" s="18" t="n">
        <x:f>MAX(0,D8*(1-Inputs!D20)-Inputs!D18-Inputs!D19)</x:f>
        <x:v>44.52</x:v>
      </x:c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3" customHeight="1">
      <x:c r="A13" s="1"/>
      <x:c r="B13" s="1"/>
      <x:c r="C13" s="1" t="str">
        <x:v>Recovery headroom / (shortfall)</x:v>
      </x:c>
      <x:c r="D13" s="2" t="n">
        <x:f>D12-D11</x:f>
        <x:v>-0.4799999999999969</x:v>
      </x:c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3" customHeight="1">
      <x:c r="A14" s="1"/>
      <x:c r="B14" s="1"/>
      <x:c r="C14" s="24" t="str">
        <x:v>Illustrative write-down</x:v>
      </x:c>
      <x:c r="D14" s="25" t="n">
        <x:f>MAX(0,-D13)</x:f>
        <x:v>0.4799999999999969</x:v>
      </x:c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3" customHeight="1">
      <x:c r="A15" s="1"/>
      <x:c r="B15" s="1"/>
      <x:c r="C15" s="1" t="str">
        <x:v>Current / remaining revenue ratio</x:v>
      </x:c>
      <x:c r="D15" s="19" t="n">
        <x:f>IF(D8=0,0,Inputs!D17/D8)</x:f>
        <x:v>0.32142857142857145</x:v>
      </x:c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3" customHeight="1">
      <x:c r="A16" s="1"/>
      <x:c r="B16" s="1"/>
      <x:c r="C16" s="1" t="str">
        <x:v>Prospective amortization</x:v>
      </x:c>
      <x:c r="D16" s="2" t="n">
        <x:f>(D11-D14)*D15</x:f>
        <x:v>14.310000000000002</x:v>
      </x:c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3" customHeight="1">
      <x:c r="A17" s="1"/>
      <x:c r="B17" s="1"/>
      <x:c r="C17" s="24" t="str">
        <x:v>Closing content asset</x:v>
      </x:c>
      <x:c r="D17" s="25" t="n">
        <x:f>D11-D14-D16</x:f>
        <x:v>30.21</x:v>
      </x:c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3" customHeight="1">
      <x:c r="A18" s="1"/>
      <x:c r="B18" s="1"/>
      <x:c r="C18" s="1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1"/>
      <x:c r="B19" s="1"/>
      <x:c r="C19" s="24" t="str">
        <x:v>Current contribution after screen</x:v>
      </x:c>
      <x:c r="D19" s="28" t="n">
        <x:f>Inputs!D17*(1-Inputs!D20)-Inputs!D18-D16-D14</x:f>
        <x:v>-0.22999999999999687</x:v>
      </x:c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"/>
      <x:c r="B20" s="1"/>
      <x:c r="C20" s="24" t="str">
        <x:v>Lifetime project contribution</x:v>
      </x:c>
      <x:c r="D20" s="28" t="n">
        <x:f>D9-Inputs!D15-Inputs!D13-Inputs!D16-Inputs!D18-Inputs!D19-D8*Inputs!D20</x:f>
        <x:v>5.52</x:v>
      </x:c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3" customHeight="1">
      <x:c r="A21" s="1"/>
      <x:c r="B21" s="1"/>
      <x:c r="C21" s="1" t="str">
        <x:v>Future sales needed for screen break-even</x:v>
      </x:c>
      <x:c r="D21" s="18" t="n">
        <x:f>IF(Inputs!D20&gt;=1,"UNAVAILABLE",MAX(0,(D11+Inputs!D18+Inputs!D19)/(1-Inputs!D20)-Inputs!D17))</x:f>
        <x:v>38.52173913043478</x:v>
      </x:c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1" t="str">
        <x:v>Asset roll-forward error</x:v>
      </x:c>
      <x:c r="D23" s="2" t="n">
        <x:f>D11-D14-D16-D17</x:f>
        <x:v>0</x:v>
      </x:c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1" t="str">
        <x:v>Input completeness</x:v>
      </x:c>
      <x:c r="D25" s="18" t="str">
        <x:f>Inputs!D38</x:f>
        <x:v>OK</x:v>
      </x:c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40" customHeight="1">
      <x:c r="A28" s="1"/>
      <x:c r="B28" s="1"/>
      <x:c r="C28" s="29" t="str">
        <x:v>Haircut to revised future sales</x:v>
      </x:c>
      <x:c r="D28" s="30" t="str">
        <x:v>Future sales</x:v>
      </x:c>
      <x:c r="E28" s="30" t="str">
        <x:v>Net proceeds</x:v>
      </x:c>
      <x:c r="F28" s="30" t="str">
        <x:v>Write-down</x:v>
      </x:c>
      <x:c r="G28" s="30" t="str">
        <x:v>Revenue ratio</x:v>
      </x:c>
      <x:c r="H28" s="30" t="str">
        <x:v>Amortization</x:v>
      </x:c>
      <x:c r="I28" s="30" t="str">
        <x:v>Current contribution</x:v>
      </x:c>
      <x:c r="J28" s="2"/>
      <x:c r="K28" s="2"/>
      <x:c r="L28" s="2"/>
      <x:c r="M28" s="2"/>
    </x:row>
    <x:row r="29" ht="23" customHeight="1">
      <x:c r="A29" s="1"/>
      <x:c r="B29" s="1"/>
      <x:c r="C29" s="10" t="n">
        <x:v>0</x:v>
      </x:c>
      <x:c r="D29" s="18" t="n">
        <x:f>SUM(Inputs!E24:E26)*(1-C29)</x:f>
        <x:v>38</x:v>
      </x:c>
      <x:c r="E29" s="18" t="n">
        <x:f>MAX(0,(Inputs!D17+D29)*(1-Inputs!D20)-Inputs!D18-Inputs!D19)</x:f>
        <x:v>44.52</x:v>
      </x:c>
      <x:c r="F29" s="2" t="n">
        <x:f>MAX(0,$D$11-E29)</x:f>
        <x:v>0.4799999999999969</x:v>
      </x:c>
      <x:c r="G29" s="19" t="n">
        <x:f>IF(Inputs!D17+D29=0,0,Inputs!D17/(Inputs!D17+D29))</x:f>
        <x:v>0.32142857142857145</x:v>
      </x:c>
      <x:c r="H29" s="2" t="n">
        <x:f>($D$11-F29)*G29</x:f>
        <x:v>14.310000000000002</x:v>
      </x:c>
      <x:c r="I29" s="18" t="n">
        <x:f>Inputs!D17*(1-Inputs!D20)-Inputs!D18-H29-F29</x:f>
        <x:v>-0.22999999999999687</x:v>
      </x:c>
      <x:c r="J29" s="2"/>
      <x:c r="K29" s="2"/>
      <x:c r="L29" s="2"/>
      <x:c r="M29" s="2"/>
    </x:row>
    <x:row r="30" ht="23" customHeight="1">
      <x:c r="A30" s="1"/>
      <x:c r="B30" s="1"/>
      <x:c r="C30" s="10" t="n">
        <x:v>0.05</x:v>
      </x:c>
      <x:c r="D30" s="18" t="n">
        <x:f>SUM(Inputs!E24:E26)*(1-C30)</x:f>
        <x:v>36.1</x:v>
      </x:c>
      <x:c r="E30" s="18" t="n">
        <x:f>MAX(0,(Inputs!D17+D30)*(1-Inputs!D20)-Inputs!D18-Inputs!D19)</x:f>
        <x:v>42.772000000000006</x:v>
      </x:c>
      <x:c r="F30" s="2" t="n">
        <x:f>MAX(0,$D$11-E30)</x:f>
        <x:v>2.2279999999999944</x:v>
      </x:c>
      <x:c r="G30" s="19" t="n">
        <x:f>IF(Inputs!D17+D30=0,0,Inputs!D17/(Inputs!D17+D30))</x:f>
        <x:v>0.33271719038817005</x:v>
      </x:c>
      <x:c r="H30" s="2" t="n">
        <x:f>($D$11-F30)*G30</x:f>
        <x:v>14.230979667282812</x:v>
      </x:c>
      <x:c r="I30" s="18" t="n">
        <x:f>Inputs!D17*(1-Inputs!D20)-Inputs!D18-H30-F30</x:f>
        <x:v>-1.8989796672828039</x:v>
      </x:c>
      <x:c r="J30" s="2"/>
      <x:c r="K30" s="2"/>
      <x:c r="L30" s="2"/>
      <x:c r="M30" s="2"/>
    </x:row>
    <x:row r="31" ht="23" customHeight="1">
      <x:c r="A31" s="1"/>
      <x:c r="B31" s="1"/>
      <x:c r="C31" s="10" t="n">
        <x:v>0.1</x:v>
      </x:c>
      <x:c r="D31" s="18" t="n">
        <x:f>SUM(Inputs!E24:E26)*(1-C31)</x:f>
        <x:v>34.2</x:v>
      </x:c>
      <x:c r="E31" s="18" t="n">
        <x:f>MAX(0,(Inputs!D17+D31)*(1-Inputs!D20)-Inputs!D18-Inputs!D19)</x:f>
        <x:v>41.02400000000001</x:v>
      </x:c>
      <x:c r="F31" s="2" t="n">
        <x:f>MAX(0,$D$11-E31)</x:f>
        <x:v>3.975999999999992</x:v>
      </x:c>
      <x:c r="G31" s="19" t="n">
        <x:f>IF(Inputs!D17+D31=0,0,Inputs!D17/(Inputs!D17+D31))</x:f>
        <x:v>0.3448275862068965</x:v>
      </x:c>
      <x:c r="H31" s="2" t="n">
        <x:f>($D$11-F31)*G31</x:f>
        <x:v>14.146206896551725</x:v>
      </x:c>
      <x:c r="I31" s="18" t="n">
        <x:f>Inputs!D17*(1-Inputs!D20)-Inputs!D18-H31-F31</x:f>
        <x:v>-3.5622068965517144</x:v>
      </x:c>
      <x:c r="J31" s="2"/>
      <x:c r="K31" s="2"/>
      <x:c r="L31" s="2"/>
      <x:c r="M31" s="2"/>
    </x:row>
    <x:row r="32" ht="23" customHeight="1">
      <x:c r="A32" s="1"/>
      <x:c r="B32" s="1"/>
      <x:c r="C32" s="10" t="n">
        <x:v>0.15</x:v>
      </x:c>
      <x:c r="D32" s="18" t="n">
        <x:f>SUM(Inputs!E24:E26)*(1-C32)</x:f>
        <x:v>32.3</x:v>
      </x:c>
      <x:c r="E32" s="18" t="n">
        <x:f>MAX(0,(Inputs!D17+D32)*(1-Inputs!D20)-Inputs!D18-Inputs!D19)</x:f>
        <x:v>39.275999999999996</x:v>
      </x:c>
      <x:c r="F32" s="2" t="n">
        <x:f>MAX(0,$D$11-E32)</x:f>
        <x:v>5.724000000000004</x:v>
      </x:c>
      <x:c r="G32" s="19" t="n">
        <x:f>IF(Inputs!D17+D32=0,0,Inputs!D17/(Inputs!D17+D32))</x:f>
        <x:v>0.35785288270377735</x:v>
      </x:c>
      <x:c r="H32" s="2" t="n">
        <x:f>($D$11-F32)*G32</x:f>
        <x:v>14.055029821073559</x:v>
      </x:c>
      <x:c r="I32" s="18" t="n">
        <x:f>Inputs!D17*(1-Inputs!D20)-Inputs!D18-H32-F32</x:f>
        <x:v>-5.21902982107356</x:v>
      </x:c>
      <x:c r="J32" s="2"/>
      <x:c r="K32" s="2"/>
      <x:c r="L32" s="2"/>
      <x:c r="M32" s="2"/>
    </x:row>
    <x:row r="33" ht="23" customHeight="1">
      <x:c r="A33" s="1"/>
      <x:c r="B33" s="1"/>
      <x:c r="C33" s="10" t="n">
        <x:v>0.2</x:v>
      </x:c>
      <x:c r="D33" s="18" t="n">
        <x:f>SUM(Inputs!E24:E26)*(1-C33)</x:f>
        <x:v>30.400000000000002</x:v>
      </x:c>
      <x:c r="E33" s="18" t="n">
        <x:f>MAX(0,(Inputs!D17+D33)*(1-Inputs!D20)-Inputs!D18-Inputs!D19)</x:f>
        <x:v>37.528000000000006</x:v>
      </x:c>
      <x:c r="F33" s="2" t="n">
        <x:f>MAX(0,$D$11-E33)</x:f>
        <x:v>7.471999999999994</x:v>
      </x:c>
      <x:c r="G33" s="19" t="n">
        <x:f>IF(Inputs!D17+D33=0,0,Inputs!D17/(Inputs!D17+D33))</x:f>
        <x:v>0.371900826446281</x:v>
      </x:c>
      <x:c r="H33" s="2" t="n">
        <x:f>($D$11-F33)*G33</x:f>
        <x:v>13.956694214876034</x:v>
      </x:c>
      <x:c r="I33" s="18" t="n">
        <x:f>Inputs!D17*(1-Inputs!D20)-Inputs!D18-H33-F33</x:f>
        <x:v>-6.868694214876026</x:v>
      </x:c>
      <x:c r="J33" s="2"/>
      <x:c r="K33" s="2"/>
      <x:c r="L33" s="2"/>
      <x:c r="M33" s="2"/>
    </x:row>
    <x:row r="34" ht="23" customHeight="1">
      <x:c r="A34" s="1"/>
      <x:c r="B34" s="1"/>
      <x:c r="C34" s="10" t="n">
        <x:v>0.25</x:v>
      </x:c>
      <x:c r="D34" s="18" t="n">
        <x:f>SUM(Inputs!E24:E26)*(1-C34)</x:f>
        <x:v>28.5</x:v>
      </x:c>
      <x:c r="E34" s="18" t="n">
        <x:f>MAX(0,(Inputs!D17+D34)*(1-Inputs!D20)-Inputs!D18-Inputs!D19)</x:f>
        <x:v>35.78</x:v>
      </x:c>
      <x:c r="F34" s="2" t="n">
        <x:f>MAX(0,$D$11-E34)</x:f>
        <x:v>9.219999999999999</x:v>
      </x:c>
      <x:c r="G34" s="19" t="n">
        <x:f>IF(Inputs!D17+D34=0,0,Inputs!D17/(Inputs!D17+D34))</x:f>
        <x:v>0.3870967741935484</x:v>
      </x:c>
      <x:c r="H34" s="2" t="n">
        <x:f>($D$11-F34)*G34</x:f>
        <x:v>13.85032258064516</x:v>
      </x:c>
      <x:c r="I34" s="18" t="n">
        <x:f>Inputs!D17*(1-Inputs!D20)-Inputs!D18-H34-F34</x:f>
        <x:v>-8.510322580645157</x:v>
      </x:c>
      <x:c r="J34" s="2"/>
      <x:c r="K34" s="2"/>
      <x:c r="L34" s="2"/>
      <x:c r="M34" s="2"/>
    </x:row>
    <x:row r="35" ht="23" customHeight="1">
      <x:c r="A35" s="1"/>
      <x:c r="B35" s="1"/>
      <x:c r="C35" s="10" t="n">
        <x:v>0.3</x:v>
      </x:c>
      <x:c r="D35" s="18" t="n">
        <x:f>SUM(Inputs!E24:E26)*(1-C35)</x:f>
        <x:v>26.599999999999998</x:v>
      </x:c>
      <x:c r="E35" s="18" t="n">
        <x:f>MAX(0,(Inputs!D17+D35)*(1-Inputs!D20)-Inputs!D18-Inputs!D19)</x:f>
        <x:v>34.032</x:v>
      </x:c>
      <x:c r="F35" s="2" t="n">
        <x:f>MAX(0,$D$11-E35)</x:f>
        <x:v>10.968000000000004</x:v>
      </x:c>
      <x:c r="G35" s="19" t="n">
        <x:f>IF(Inputs!D17+D35=0,0,Inputs!D17/(Inputs!D17+D35))</x:f>
        <x:v>0.4035874439461884</x:v>
      </x:c>
      <x:c r="H35" s="2" t="n">
        <x:f>($D$11-F35)*G35</x:f>
        <x:v>13.734887892376682</x:v>
      </x:c>
      <x:c r="I35" s="18" t="n">
        <x:f>Inputs!D17*(1-Inputs!D20)-Inputs!D18-H35-F35</x:f>
        <x:v>-10.142887892376683</x:v>
      </x:c>
      <x:c r="J35" s="2"/>
      <x:c r="K35" s="2"/>
      <x:c r="L35" s="2"/>
      <x:c r="M35" s="2"/>
    </x:row>
    <x:row r="36" ht="23" customHeight="1">
      <x:c r="A36" s="1"/>
      <x:c r="B36" s="1"/>
      <x:c r="C36" s="10" t="n">
        <x:v>0.35</x:v>
      </x:c>
      <x:c r="D36" s="18" t="n">
        <x:f>SUM(Inputs!E24:E26)*(1-C36)</x:f>
        <x:v>24.7</x:v>
      </x:c>
      <x:c r="E36" s="18" t="n">
        <x:f>MAX(0,(Inputs!D17+D36)*(1-Inputs!D20)-Inputs!D18-Inputs!D19)</x:f>
        <x:v>32.284000000000006</x:v>
      </x:c>
      <x:c r="F36" s="2" t="n">
        <x:f>MAX(0,$D$11-E36)</x:f>
        <x:v>12.715999999999994</x:v>
      </x:c>
      <x:c r="G36" s="19" t="n">
        <x:f>IF(Inputs!D17+D36=0,0,Inputs!D17/(Inputs!D17+D36))</x:f>
        <x:v>0.42154566744730676</x:v>
      </x:c>
      <x:c r="H36" s="2" t="n">
        <x:f>($D$11-F36)*G36</x:f>
        <x:v>13.609180327868854</x:v>
      </x:c>
      <x:c r="I36" s="18" t="n">
        <x:f>Inputs!D17*(1-Inputs!D20)-Inputs!D18-H36-F36</x:f>
        <x:v>-11.765180327868846</x:v>
      </x:c>
      <x:c r="J36" s="2"/>
      <x:c r="K36" s="2"/>
      <x:c r="L36" s="2"/>
      <x:c r="M36" s="2"/>
    </x:row>
    <x:row r="37" ht="23" customHeight="1">
      <x:c r="A37" s="1"/>
      <x:c r="B37" s="1"/>
      <x:c r="C37" s="10" t="n">
        <x:v>0.4</x:v>
      </x:c>
      <x:c r="D37" s="18" t="n">
        <x:f>SUM(Inputs!E24:E26)*(1-C37)</x:f>
        <x:v>22.8</x:v>
      </x:c>
      <x:c r="E37" s="18" t="n">
        <x:f>MAX(0,(Inputs!D17+D37)*(1-Inputs!D20)-Inputs!D18-Inputs!D19)</x:f>
        <x:v>30.536</x:v>
      </x:c>
      <x:c r="F37" s="2" t="n">
        <x:f>MAX(0,$D$11-E37)</x:f>
        <x:v>14.463999999999999</x:v>
      </x:c>
      <x:c r="G37" s="19" t="n">
        <x:f>IF(Inputs!D17+D37=0,0,Inputs!D17/(Inputs!D17+D37))</x:f>
        <x:v>0.44117647058823534</x:v>
      </x:c>
      <x:c r="H37" s="2" t="n">
        <x:f>($D$11-F37)*G37</x:f>
        <x:v>13.471764705882356</x:v>
      </x:c>
      <x:c r="I37" s="18" t="n">
        <x:f>Inputs!D17*(1-Inputs!D20)-Inputs!D18-H37-F37</x:f>
        <x:v>-13.375764705882352</x:v>
      </x:c>
      <x:c r="J37" s="2"/>
      <x:c r="K37" s="2"/>
      <x:c r="L37" s="2"/>
      <x:c r="M37" s="2"/>
    </x:row>
    <x:row r="38" ht="23" customHeight="1">
      <x:c r="A38" s="1"/>
      <x:c r="B38" s="1"/>
      <x:c r="C38" s="10" t="n">
        <x:v>0.45</x:v>
      </x:c>
      <x:c r="D38" s="18" t="n">
        <x:f>SUM(Inputs!E24:E26)*(1-C38)</x:f>
        <x:v>20.900000000000002</x:v>
      </x:c>
      <x:c r="E38" s="18" t="n">
        <x:f>MAX(0,(Inputs!D17+D38)*(1-Inputs!D20)-Inputs!D18-Inputs!D19)</x:f>
        <x:v>28.788000000000004</x:v>
      </x:c>
      <x:c r="F38" s="2" t="n">
        <x:f>MAX(0,$D$11-E38)</x:f>
        <x:v>16.211999999999996</x:v>
      </x:c>
      <x:c r="G38" s="19" t="n">
        <x:f>IF(Inputs!D17+D38=0,0,Inputs!D17/(Inputs!D17+D38))</x:f>
        <x:v>0.4627249357326477</x:v>
      </x:c>
      <x:c r="H38" s="2" t="n">
        <x:f>($D$11-F38)*G38</x:f>
        <x:v>13.320925449871465</x:v>
      </x:c>
      <x:c r="I38" s="18" t="n">
        <x:f>Inputs!D17*(1-Inputs!D20)-Inputs!D18-H38-F38</x:f>
        <x:v>-14.97292544987146</x:v>
      </x:c>
      <x:c r="J38" s="2"/>
      <x:c r="K38" s="2"/>
      <x:c r="L38" s="2"/>
      <x:c r="M38" s="2"/>
    </x:row>
    <x:row r="39" ht="23" customHeight="1">
      <x:c r="A39" s="1"/>
      <x:c r="B39" s="1"/>
      <x:c r="C39" s="10" t="n">
        <x:v>0.5</x:v>
      </x:c>
      <x:c r="D39" s="18" t="n">
        <x:f>SUM(Inputs!E24:E26)*(1-C39)</x:f>
        <x:v>19</x:v>
      </x:c>
      <x:c r="E39" s="18" t="n">
        <x:f>MAX(0,(Inputs!D17+D39)*(1-Inputs!D20)-Inputs!D18-Inputs!D19)</x:f>
        <x:v>27.04</x:v>
      </x:c>
      <x:c r="F39" s="2" t="n">
        <x:f>MAX(0,$D$11-E39)</x:f>
        <x:v>17.96</x:v>
      </x:c>
      <x:c r="G39" s="19" t="n">
        <x:f>IF(Inputs!D17+D39=0,0,Inputs!D17/(Inputs!D17+D39))</x:f>
        <x:v>0.4864864864864865</x:v>
      </x:c>
      <x:c r="H39" s="2" t="n">
        <x:f>($D$11-F39)*G39</x:f>
        <x:v>13.154594594594595</x:v>
      </x:c>
      <x:c r="I39" s="18" t="n">
        <x:f>Inputs!D17*(1-Inputs!D20)-Inputs!D18-H39-F39</x:f>
        <x:v>-16.554594594594594</x:v>
      </x:c>
      <x:c r="J39" s="2"/>
      <x:c r="K39" s="2"/>
      <x:c r="L39" s="2"/>
      <x:c r="M39" s="2"/>
    </x:row>
    <x:row r="40" ht="23" customHeight="1">
      <x:c r="A40" s="1"/>
      <x:c r="B40" s="1"/>
      <x:c r="C40" s="10" t="n">
        <x:v>0.55</x:v>
      </x:c>
      <x:c r="D40" s="18" t="n">
        <x:f>SUM(Inputs!E24:E26)*(1-C40)</x:f>
        <x:v>17.099999999999998</x:v>
      </x:c>
      <x:c r="E40" s="18" t="n">
        <x:f>MAX(0,(Inputs!D17+D40)*(1-Inputs!D20)-Inputs!D18-Inputs!D19)</x:f>
        <x:v>25.291999999999994</x:v>
      </x:c>
      <x:c r="F40" s="2" t="n">
        <x:f>MAX(0,$D$11-E40)</x:f>
        <x:v>19.708000000000006</x:v>
      </x:c>
      <x:c r="G40" s="19" t="n">
        <x:f>IF(Inputs!D17+D40=0,0,Inputs!D17/(Inputs!D17+D40))</x:f>
        <x:v>0.5128205128205129</x:v>
      </x:c>
      <x:c r="H40" s="2" t="n">
        <x:f>($D$11-F40)*G40</x:f>
        <x:v>12.97025641025641</x:v>
      </x:c>
      <x:c r="I40" s="18" t="n">
        <x:f>Inputs!D17*(1-Inputs!D20)-Inputs!D18-H40-F40</x:f>
        <x:v>-18.118256410256414</x:v>
      </x:c>
      <x:c r="J40" s="2"/>
      <x:c r="K40" s="2"/>
      <x:c r="L40" s="2"/>
      <x:c r="M40" s="2"/>
    </x:row>
    <x:row r="41" ht="23" customHeight="1">
      <x:c r="A41" s="1"/>
      <x:c r="B41" s="1"/>
      <x:c r="C41" s="10" t="n">
        <x:v>0.6</x:v>
      </x:c>
      <x:c r="D41" s="18" t="n">
        <x:f>SUM(Inputs!E24:E26)*(1-C41)</x:f>
        <x:v>15.200000000000001</x:v>
      </x:c>
      <x:c r="E41" s="18" t="n">
        <x:f>MAX(0,(Inputs!D17+D41)*(1-Inputs!D20)-Inputs!D18-Inputs!D19)</x:f>
        <x:v>23.544000000000004</x:v>
      </x:c>
      <x:c r="F41" s="2" t="n">
        <x:f>MAX(0,$D$11-E41)</x:f>
        <x:v>21.455999999999996</x:v>
      </x:c>
      <x:c r="G41" s="19" t="n">
        <x:f>IF(Inputs!D17+D41=0,0,Inputs!D17/(Inputs!D17+D41))</x:f>
        <x:v>0.5421686746987951</x:v>
      </x:c>
      <x:c r="H41" s="2" t="n">
        <x:f>($D$11-F41)*G41</x:f>
        <x:v>12.764819277108435</x:v>
      </x:c>
      <x:c r="I41" s="18" t="n">
        <x:f>Inputs!D17*(1-Inputs!D20)-Inputs!D18-H41-F41</x:f>
        <x:v>-19.66081927710843</x:v>
      </x:c>
      <x:c r="J41" s="2"/>
      <x:c r="K41" s="2"/>
      <x:c r="L41" s="2"/>
      <x:c r="M41" s="2"/>
    </x:row>
    <x:row r="42" ht="23" customHeight="1">
      <x:c r="A42" s="1"/>
      <x:c r="B42" s="1"/>
      <x:c r="C42" s="10" t="n">
        <x:v>0.65</x:v>
      </x:c>
      <x:c r="D42" s="18" t="n">
        <x:f>SUM(Inputs!E24:E26)*(1-C42)</x:f>
        <x:v>13.299999999999999</x:v>
      </x:c>
      <x:c r="E42" s="18" t="n">
        <x:f>MAX(0,(Inputs!D17+D42)*(1-Inputs!D20)-Inputs!D18-Inputs!D19)</x:f>
        <x:v>21.796</x:v>
      </x:c>
      <x:c r="F42" s="2" t="n">
        <x:f>MAX(0,$D$11-E42)</x:f>
        <x:v>23.204</x:v>
      </x:c>
      <x:c r="G42" s="19" t="n">
        <x:f>IF(Inputs!D17+D42=0,0,Inputs!D17/(Inputs!D17+D42))</x:f>
        <x:v>0.5750798722044729</x:v>
      </x:c>
      <x:c r="H42" s="2" t="n">
        <x:f>($D$11-F42)*G42</x:f>
        <x:v>12.534440894568691</x:v>
      </x:c>
      <x:c r="I42" s="18" t="n">
        <x:f>Inputs!D17*(1-Inputs!D20)-Inputs!D18-H42-F42</x:f>
        <x:v>-21.178440894568688</x:v>
      </x:c>
      <x:c r="J42" s="2"/>
      <x:c r="K42" s="2"/>
      <x:c r="L42" s="2"/>
      <x:c r="M42" s="2"/>
    </x:row>
    <x:row r="43" ht="23" customHeight="1">
      <x:c r="A43" s="1"/>
      <x:c r="B43" s="1"/>
      <x:c r="C43" s="10" t="n">
        <x:v>0.7</x:v>
      </x:c>
      <x:c r="D43" s="18" t="n">
        <x:f>SUM(Inputs!E24:E26)*(1-C43)</x:f>
        <x:v>11.400000000000002</x:v>
      </x:c>
      <x:c r="E43" s="18" t="n">
        <x:f>MAX(0,(Inputs!D17+D43)*(1-Inputs!D20)-Inputs!D18-Inputs!D19)</x:f>
        <x:v>20.048000000000002</x:v>
      </x:c>
      <x:c r="F43" s="2" t="n">
        <x:f>MAX(0,$D$11-E43)</x:f>
        <x:v>24.951999999999998</x:v>
      </x:c>
      <x:c r="G43" s="19" t="n">
        <x:f>IF(Inputs!D17+D43=0,0,Inputs!D17/(Inputs!D17+D43))</x:f>
        <x:v>0.6122448979591836</x:v>
      </x:c>
      <x:c r="H43" s="2" t="n">
        <x:f>($D$11-F43)*G43</x:f>
        <x:v>12.274285714285714</x:v>
      </x:c>
      <x:c r="I43" s="18" t="n">
        <x:f>Inputs!D17*(1-Inputs!D20)-Inputs!D18-H43-F43</x:f>
        <x:v>-22.66628571428571</x:v>
      </x:c>
      <x:c r="J43" s="2"/>
      <x:c r="K43" s="2"/>
      <x:c r="L43" s="2"/>
      <x:c r="M43" s="2"/>
    </x:row>
    <x:row r="44" ht="23" customHeight="1">
      <x:c r="A44" s="1"/>
      <x:c r="B44" s="1"/>
      <x:c r="C44" s="10" t="n">
        <x:v>0.75</x:v>
      </x:c>
      <x:c r="D44" s="18" t="n">
        <x:f>SUM(Inputs!E24:E26)*(1-C44)</x:f>
        <x:v>9.5</x:v>
      </x:c>
      <x:c r="E44" s="18" t="n">
        <x:f>MAX(0,(Inputs!D17+D44)*(1-Inputs!D20)-Inputs!D18-Inputs!D19)</x:f>
        <x:v>18.3</x:v>
      </x:c>
      <x:c r="F44" s="2" t="n">
        <x:f>MAX(0,$D$11-E44)</x:f>
        <x:v>26.7</x:v>
      </x:c>
      <x:c r="G44" s="19" t="n">
        <x:f>IF(Inputs!D17+D44=0,0,Inputs!D17/(Inputs!D17+D44))</x:f>
        <x:v>0.6545454545454545</x:v>
      </x:c>
      <x:c r="H44" s="2" t="n">
        <x:f>($D$11-F44)*G44</x:f>
        <x:v>11.978181818181818</x:v>
      </x:c>
      <x:c r="I44" s="18" t="n">
        <x:f>Inputs!D17*(1-Inputs!D20)-Inputs!D18-H44-F44</x:f>
        <x:v>-24.118181818181817</x:v>
      </x:c>
      <x:c r="J44" s="2"/>
      <x:c r="K44" s="2"/>
      <x:c r="L44" s="2"/>
      <x:c r="M44" s="2"/>
    </x:row>
    <x:row r="45" ht="23" customHeight="1">
      <x:c r="A45" s="1"/>
      <x:c r="B45" s="1"/>
      <x:c r="C45" s="10" t="n">
        <x:v>0.8</x:v>
      </x:c>
      <x:c r="D45" s="18" t="n">
        <x:f>SUM(Inputs!E24:E26)*(1-C45)</x:f>
        <x:v>7.599999999999998</x:v>
      </x:c>
      <x:c r="E45" s="18" t="n">
        <x:f>MAX(0,(Inputs!D17+D45)*(1-Inputs!D20)-Inputs!D18-Inputs!D19)</x:f>
        <x:v>16.552</x:v>
      </x:c>
      <x:c r="F45" s="2" t="n">
        <x:f>MAX(0,$D$11-E45)</x:f>
        <x:v>28.448</x:v>
      </x:c>
      <x:c r="G45" s="19" t="n">
        <x:f>IF(Inputs!D17+D45=0,0,Inputs!D17/(Inputs!D17+D45))</x:f>
        <x:v>0.7031250000000001</x:v>
      </x:c>
      <x:c r="H45" s="2" t="n">
        <x:f>($D$11-F45)*G45</x:f>
        <x:v>11.638125000000002</x:v>
      </x:c>
      <x:c r="I45" s="18" t="n">
        <x:f>Inputs!D17*(1-Inputs!D20)-Inputs!D18-H45-F45</x:f>
        <x:v>-25.526125</x:v>
      </x:c>
      <x:c r="J45" s="2"/>
      <x:c r="K45" s="2"/>
      <x:c r="L45" s="2"/>
      <x:c r="M45" s="2"/>
    </x:row>
    <x:row r="46" ht="23" customHeight="1">
      <x:c r="A46" s="1"/>
      <x:c r="B46" s="1"/>
      <x:c r="C46" s="10" t="n">
        <x:v>0.85</x:v>
      </x:c>
      <x:c r="D46" s="18" t="n">
        <x:f>SUM(Inputs!E24:E26)*(1-C46)</x:f>
        <x:v>5.700000000000001</x:v>
      </x:c>
      <x:c r="E46" s="18" t="n">
        <x:f>MAX(0,(Inputs!D17+D46)*(1-Inputs!D20)-Inputs!D18-Inputs!D19)</x:f>
        <x:v>14.804000000000002</x:v>
      </x:c>
      <x:c r="F46" s="2" t="n">
        <x:f>MAX(0,$D$11-E46)</x:f>
        <x:v>30.195999999999998</x:v>
      </x:c>
      <x:c r="G46" s="19" t="n">
        <x:f>IF(Inputs!D17+D46=0,0,Inputs!D17/(Inputs!D17+D46))</x:f>
        <x:v>0.7594936708860759</x:v>
      </x:c>
      <x:c r="H46" s="2" t="n">
        <x:f>($D$11-F46)*G46</x:f>
        <x:v>11.243544303797469</x:v>
      </x:c>
      <x:c r="I46" s="18" t="n">
        <x:f>Inputs!D17*(1-Inputs!D20)-Inputs!D18-H46-F46</x:f>
        <x:v>-26.879544303797466</x:v>
      </x:c>
      <x:c r="J46" s="2"/>
      <x:c r="K46" s="2"/>
      <x:c r="L46" s="2"/>
      <x:c r="M46" s="2"/>
    </x:row>
    <x:row r="47" ht="23" customHeight="1">
      <x:c r="A47" s="1"/>
      <x:c r="B47" s="1"/>
      <x:c r="C47" s="10" t="n">
        <x:v>0.9</x:v>
      </x:c>
      <x:c r="D47" s="18" t="n">
        <x:f>SUM(Inputs!E24:E26)*(1-C47)</x:f>
        <x:v>3.799999999999999</x:v>
      </x:c>
      <x:c r="E47" s="18" t="n">
        <x:f>MAX(0,(Inputs!D17+D47)*(1-Inputs!D20)-Inputs!D18-Inputs!D19)</x:f>
        <x:v>13.055999999999997</x:v>
      </x:c>
      <x:c r="F47" s="2" t="n">
        <x:f>MAX(0,$D$11-E47)</x:f>
        <x:v>31.944000000000003</x:v>
      </x:c>
      <x:c r="G47" s="19" t="n">
        <x:f>IF(Inputs!D17+D47=0,0,Inputs!D17/(Inputs!D17+D47))</x:f>
        <x:v>0.8256880733944956</x:v>
      </x:c>
      <x:c r="H47" s="2" t="n">
        <x:f>($D$11-F47)*G47</x:f>
        <x:v>10.780183486238531</x:v>
      </x:c>
      <x:c r="I47" s="18" t="n">
        <x:f>Inputs!D17*(1-Inputs!D20)-Inputs!D18-H47-F47</x:f>
        <x:v>-28.16418348623853</x:v>
      </x:c>
      <x:c r="J47" s="2"/>
      <x:c r="K47" s="2"/>
      <x:c r="L47" s="2"/>
      <x:c r="M47" s="2"/>
    </x:row>
    <x:row r="48" ht="23" customHeight="1">
      <x:c r="A48" s="1"/>
      <x:c r="B48" s="1"/>
      <x:c r="C48" s="10" t="n">
        <x:v>0.95</x:v>
      </x:c>
      <x:c r="D48" s="18" t="n">
        <x:f>SUM(Inputs!E24:E26)*(1-C48)</x:f>
        <x:v>1.9000000000000017</x:v>
      </x:c>
      <x:c r="E48" s="18" t="n">
        <x:f>MAX(0,(Inputs!D17+D48)*(1-Inputs!D20)-Inputs!D18-Inputs!D19)</x:f>
        <x:v>11.308000000000003</x:v>
      </x:c>
      <x:c r="F48" s="2" t="n">
        <x:f>MAX(0,$D$11-E48)</x:f>
        <x:v>33.69199999999999</x:v>
      </x:c>
      <x:c r="G48" s="19" t="n">
        <x:f>IF(Inputs!D17+D48=0,0,Inputs!D17/(Inputs!D17+D48))</x:f>
        <x:v>0.9045226130653266</x:v>
      </x:c>
      <x:c r="H48" s="2" t="n">
        <x:f>($D$11-F48)*G48</x:f>
        <x:v>10.228341708542718</x:v>
      </x:c>
      <x:c r="I48" s="18" t="n">
        <x:f>Inputs!D17*(1-Inputs!D20)-Inputs!D18-H48-F48</x:f>
        <x:v>-29.36034170854271</x:v>
      </x:c>
      <x:c r="J48" s="2"/>
      <x:c r="K48" s="2"/>
      <x:c r="L48" s="2"/>
      <x:c r="M48" s="2"/>
    </x:row>
    <x:row r="49" ht="23" customHeight="1">
      <x:c r="A49" s="1"/>
      <x:c r="B49" s="1"/>
      <x:c r="C49" s="10" t="n">
        <x:v>1</x:v>
      </x:c>
      <x:c r="D49" s="18" t="n">
        <x:f>SUM(Inputs!E24:E26)*(1-C49)</x:f>
        <x:v>0</x:v>
      </x:c>
      <x:c r="E49" s="18" t="n">
        <x:f>MAX(0,(Inputs!D17+D49)*(1-Inputs!D20)-Inputs!D18-Inputs!D19)</x:f>
        <x:v>9.560000000000002</x:v>
      </x:c>
      <x:c r="F49" s="2" t="n">
        <x:f>MAX(0,$D$11-E49)</x:f>
        <x:v>35.44</x:v>
      </x:c>
      <x:c r="G49" s="19" t="n">
        <x:f>IF(Inputs!D17+D49=0,0,Inputs!D17/(Inputs!D17+D49))</x:f>
        <x:v>1</x:v>
      </x:c>
      <x:c r="H49" s="2" t="n">
        <x:f>($D$11-F49)*G49</x:f>
        <x:v>9.560000000000002</x:v>
      </x:c>
      <x:c r="I49" s="18" t="n">
        <x:f>Inputs!D17*(1-Inputs!D20)-Inputs!D18-H49-F49</x:f>
        <x:v>-30.439999999999998</x:v>
      </x:c>
      <x:c r="J49" s="2"/>
      <x:c r="K49" s="2"/>
      <x:c r="L49" s="2"/>
      <x:c r="M49" s="2"/>
    </x:row>
    <x:row r="50" ht="23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23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</x:sheetData>
  <x:mergeCells>
    <x:mergeCell ref="C2:I2"/>
    <x:mergeCell ref="C3:I3"/>
  </x:mergeCells>
  <x:pageMargins left="0.7" right="0.7" top="0.75" bottom="0.75" header="0.3" footer="0.3"/>
  <x:drawing xmlns:r="http://schemas.openxmlformats.org/officeDocument/2006/relationships" r:id="R73ad919785d64c71"/>
</x:worksheet>
</file>

<file path=xl/worksheets/sheet2.xml><?xml version="1.0" encoding="utf-8"?>
<x:worksheet xmlns:x="http://schemas.openxmlformats.org/spreadsheetml/2006/main">
  <x:sheetPr>
    <x:tabColor rgb="FF007F7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1"/>
      <x:c r="B2" s="1"/>
      <x:c r="C2" s="3" t="str">
        <x:v>Title assumptions &amp; scenario controls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4" t="str">
        <x:v>INDEPENDENT CASE STUDY  •  FICTIONAL TITLE ASSUMPTIONS  •  USD MILLIONS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5" customHeight="1">
      <x:c r="A5" s="1"/>
      <x:c r="B5" s="1"/>
      <x:c r="C5" s="1" t="str">
        <x:v>Active case (1 / 2 / 3 / 4)</x:v>
      </x:c>
      <x:c r="D5" s="7" t="n">
        <x:v>2</x:v>
      </x:c>
      <x:c r="E5" s="2"/>
      <x:c r="F5" s="9" t="str">
        <x:v>1 Prior • 2 Revised • 3 Downside • 4 Stress</x:v>
      </x:c>
      <x:c r="G5" s="9"/>
      <x:c r="H5" s="9"/>
      <x:c r="I5" s="9"/>
      <x:c r="J5" s="9"/>
      <x:c r="K5" s="9"/>
      <x:c r="L5" s="2"/>
      <x:c r="M5" s="2"/>
    </x:row>
    <x:row r="6" ht="23" customHeight="1">
      <x:c r="A6" s="1"/>
      <x:c r="B6" s="1"/>
      <x:c r="C6" s="1" t="str">
        <x:v>Active future-revenue haircut</x:v>
      </x:c>
      <x:c r="D6" s="10" t="n">
        <x:f>IF(D5=3,D8,IF(D5=4,D9,0))</x:f>
        <x:v>0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1"/>
      <x:c r="D7" s="10"/>
      <x:c r="E7" s="2"/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1"/>
      <x:c r="B8" s="1"/>
      <x:c r="C8" s="1" t="str">
        <x:v>Downside haircut</x:v>
      </x:c>
      <x:c r="D8" s="11" t="n">
        <x:v>0.25</x:v>
      </x:c>
      <x:c r="E8" s="2"/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A9" s="1"/>
      <x:c r="B9" s="1"/>
      <x:c r="C9" s="1" t="str">
        <x:v>Stress haircut</x:v>
      </x:c>
      <x:c r="D9" s="11" t="n">
        <x:v>0.55</x:v>
      </x:c>
      <x:c r="E9" s="2"/>
      <x:c r="F9" s="2"/>
      <x:c r="G9" s="2"/>
      <x:c r="H9" s="2"/>
      <x:c r="I9" s="2"/>
      <x:c r="J9" s="2"/>
      <x:c r="K9" s="2"/>
      <x:c r="L9" s="2"/>
      <x:c r="M9" s="2"/>
    </x:row>
    <x:row r="10" ht="23" customHeight="1">
      <x:c r="A10" s="1"/>
      <x:c r="B10" s="1"/>
      <x:c r="C10" s="1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3" customHeight="1">
      <x:c r="A11" s="1"/>
      <x:c r="B11" s="1"/>
      <x:c r="C11" s="1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3" customHeight="1">
      <x:c r="A12" s="1"/>
      <x:c r="B12" s="1"/>
      <x:c r="C12" s="1" t="str">
        <x:v>Opening unamortized production cost</x:v>
      </x:c>
      <x:c r="D12" s="6" t="n">
        <x:v>42</x:v>
      </x:c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3" customHeight="1">
      <x:c r="A13" s="1"/>
      <x:c r="B13" s="1"/>
      <x:c r="C13" s="1" t="str">
        <x:v>Current capitalized additions</x:v>
      </x:c>
      <x:c r="D13" s="6" t="n">
        <x:v>3</x:v>
      </x:c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3" customHeight="1">
      <x:c r="A14" s="1"/>
      <x:c r="B14" s="1"/>
      <x:c r="C14" s="1" t="str">
        <x:v>Historical recognized revenue</x:v>
      </x:c>
      <x:c r="D14" s="6" t="n">
        <x:v>30</x:v>
      </x:c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3" customHeight="1">
      <x:c r="A15" s="1"/>
      <x:c r="B15" s="1"/>
      <x:c r="C15" s="1" t="str">
        <x:v>Historical capitalized production cost</x:v>
      </x:c>
      <x:c r="D15" s="6" t="n">
        <x:v>60</x:v>
      </x:c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3" customHeight="1">
      <x:c r="A16" s="1"/>
      <x:c r="B16" s="1"/>
      <x:c r="C16" s="1" t="str">
        <x:v>Historical other cost (incl. participation)</x:v>
      </x:c>
      <x:c r="D16" s="6" t="n">
        <x:v>6</x:v>
      </x:c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3" customHeight="1">
      <x:c r="A17" s="1"/>
      <x:c r="B17" s="1"/>
      <x:c r="C17" s="1" t="str">
        <x:v>Current recognized revenue</x:v>
      </x:c>
      <x:c r="D17" s="6" t="n">
        <x:v>18</x:v>
      </x:c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3" customHeight="1">
      <x:c r="A18" s="1"/>
      <x:c r="B18" s="1"/>
      <x:c r="C18" s="1" t="str">
        <x:v>Current exploitation cost</x:v>
      </x:c>
      <x:c r="D18" s="6" t="n">
        <x:v>2</x:v>
      </x:c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1"/>
      <x:c r="B19" s="1"/>
      <x:c r="C19" s="1" t="str">
        <x:v>Future exploitation cost</x:v>
      </x:c>
      <x:c r="D19" s="6" t="n">
        <x:v>5</x:v>
      </x:c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"/>
      <x:c r="B20" s="1"/>
      <x:c r="C20" s="1" t="str">
        <x:v>Future/current participation rate</x:v>
      </x:c>
      <x:c r="D20" s="11" t="n">
        <x:v>0.08</x:v>
      </x:c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3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14" t="str">
        <x:v>Revenue window</x:v>
      </x:c>
      <x:c r="D23" s="15" t="str">
        <x:v>Prior future</x:v>
      </x:c>
      <x:c r="E23" s="15" t="str">
        <x:v>Revised future</x:v>
      </x:c>
      <x:c r="F23" s="15" t="str">
        <x:v>Active future</x:v>
      </x:c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1" t="str">
        <x:v>Domestic renewal</x:v>
      </x:c>
      <x:c r="D24" s="6" t="n">
        <x:v>22</x:v>
      </x:c>
      <x:c r="E24" s="6" t="n">
        <x:v>18</x:v>
      </x:c>
      <x:c r="F24" s="2" t="n">
        <x:f>IF($D$5=1,D24,E24)*(1-$D$6)</x:f>
        <x:v>18</x:v>
      </x:c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1" t="str">
        <x:v>International</x:v>
      </x:c>
      <x:c r="D25" s="6" t="n">
        <x:v>16</x:v>
      </x:c>
      <x:c r="E25" s="6" t="n">
        <x:v>12</x:v>
      </x:c>
      <x:c r="F25" s="2" t="n">
        <x:f>IF($D$5=1,D25,E25)*(1-$D$6)</x:f>
        <x:v>12</x:v>
      </x:c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1" t="str">
        <x:v>Catalog / AVOD</x:v>
      </x:c>
      <x:c r="D26" s="6" t="n">
        <x:v>14</x:v>
      </x:c>
      <x:c r="E26" s="6" t="n">
        <x:v>8</x:v>
      </x:c>
      <x:c r="F26" s="2" t="n">
        <x:f>IF($D$5=1,D26,E26)*(1-$D$6)</x:f>
        <x:v>8</x:v>
      </x:c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45" customHeight="1">
      <x:c r="A29" s="1"/>
      <x:c r="B29" s="1"/>
      <x:c r="C29" s="17" t="str">
        <x:v>All title data is invented for an independent case study. Keep historical balances and recognized revenue fixed when revising future windows. No Sony title-level information is used.</x:v>
      </x:c>
      <x:c r="D29" s="9"/>
      <x:c r="E29" s="9"/>
      <x:c r="F29" s="9"/>
      <x:c r="G29" s="9"/>
      <x:c r="H29" s="9"/>
      <x:c r="I29" s="9"/>
      <x:c r="J29" s="9"/>
      <x:c r="K29" s="9"/>
      <x:c r="L29" s="2"/>
      <x:c r="M29" s="2"/>
    </x:row>
    <x:row r="30" ht="23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3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60" customHeight="1">
      <x:c r="A32" s="1"/>
      <x:c r="B32" s="1"/>
      <x:c r="C32" s="17" t="str">
        <x:v>Policy context: Sony FY2025 Form 20-F, PDF pp.53 and 141, describes ultimate-revenue estimation and a current/remaining revenue ratio for film-cost amortization. https://www.sony.com/en/SonyInfo/IR/library/FY2025_20F_PDF.pdf</x:v>
      </x:c>
      <x:c r="D32" s="9"/>
      <x:c r="E32" s="9"/>
      <x:c r="F32" s="9"/>
      <x:c r="G32" s="9"/>
      <x:c r="H32" s="9"/>
      <x:c r="I32" s="9"/>
      <x:c r="J32" s="9"/>
      <x:c r="K32" s="9"/>
      <x:c r="L32" s="2"/>
      <x:c r="M32" s="2"/>
    </x:row>
    <x:row r="33" ht="23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3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60" customHeight="1">
      <x:c r="A35" s="1"/>
      <x:c r="B35" s="1"/>
      <x:c r="C35" s="17" t="str">
        <x:v>This educational model screens undiscounted net remaining proceeds before prospective amortization. It is not an IAS 36 valuation or accounting conclusion: fair value, discounting, CGU assessment and contract-specific participation require Accounting review.</x:v>
      </x:c>
      <x:c r="D35" s="9"/>
      <x:c r="E35" s="9"/>
      <x:c r="F35" s="9"/>
      <x:c r="G35" s="9"/>
      <x:c r="H35" s="9"/>
      <x:c r="I35" s="9"/>
      <x:c r="J35" s="9"/>
      <x:c r="K35" s="9"/>
      <x:c r="L35" s="2"/>
      <x:c r="M35" s="2"/>
    </x:row>
    <x:row r="36" ht="23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3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3" customHeight="1">
      <x:c r="A38" s="1"/>
      <x:c r="B38" s="1"/>
      <x:c r="C38" s="1" t="str">
        <x:v>Required numeric inputs / case</x:v>
      </x:c>
      <x:c r="D38" s="2" t="str">
        <x:f>IF(AND(COUNT(D12:D20)=9,COUNT(D24:E26)=6,COUNT(D5,D8:D9)=3,D5&gt;=1,D5&lt;=4,D5=INT(D5),D20&lt;1),"OK","REVIEW INPUTS")</x:f>
        <x:v>OK</x:v>
      </x:c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3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3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</x:sheetData>
  <x:mergeCells>
    <x:mergeCell ref="C2:I2"/>
    <x:mergeCell ref="C3:I3"/>
    <x:mergeCell ref="F5:K5"/>
    <x:mergeCell ref="C29:K29"/>
    <x:mergeCell ref="C32:K32"/>
    <x:mergeCell ref="C35:K35"/>
  </x:mergeCells>
  <x:dataValidations count="1">
    <x:dataValidation type="whole" operator="between" sqref="D5">
      <x:formula1>1</x:formula1>
      <x:formula2>4</x:formula2>
    </x:dataValidation>
  </x:dataValidations>
  <x:pageMargins left="0.7" right="0.7" top="0.75" bottom="0.75" header="0.3" footer="0.3"/>
</x:worksheet>
</file>